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ok Listesi" sheetId="1" state="visible" r:id="rId3"/>
    <sheet name="Hareket Kayıtları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<sst xmlns="http://schemas.openxmlformats.org/spreadsheetml/2006/main" count="68" uniqueCount="53">
  <si>
    <t xml:space="preserve">STOK TAKİP SİSTEMİ</t>
  </si>
  <si>
    <t xml:space="preserve">Ürün bazlı giriş/çıkış ve güncel stok takibi</t>
  </si>
  <si>
    <t xml:space="preserve">Ürün Kodu</t>
  </si>
  <si>
    <t xml:space="preserve">Ürün Adı</t>
  </si>
  <si>
    <t xml:space="preserve">Kategori</t>
  </si>
  <si>
    <t xml:space="preserve">Birim</t>
  </si>
  <si>
    <t xml:space="preserve">Açılış Stoğu</t>
  </si>
  <si>
    <t xml:space="preserve">Toplam Giriş</t>
  </si>
  <si>
    <t xml:space="preserve">Toplam Çıkış</t>
  </si>
  <si>
    <t xml:space="preserve">Güncel Stok</t>
  </si>
  <si>
    <t xml:space="preserve">Min. Stok Seviyesi</t>
  </si>
  <si>
    <t xml:space="preserve">Durum</t>
  </si>
  <si>
    <t xml:space="preserve">Birim Fiyat (TL)</t>
  </si>
  <si>
    <t xml:space="preserve">Stok Değeri (TL)</t>
  </si>
  <si>
    <t xml:space="preserve">STK-001</t>
  </si>
  <si>
    <t xml:space="preserve">Vida M6x20</t>
  </si>
  <si>
    <t xml:space="preserve">Bağlantı Elemanı</t>
  </si>
  <si>
    <t xml:space="preserve">Adet</t>
  </si>
  <si>
    <t xml:space="preserve">STK-002</t>
  </si>
  <si>
    <t xml:space="preserve">Saç Sacı 2mm</t>
  </si>
  <si>
    <t xml:space="preserve">Hammadde</t>
  </si>
  <si>
    <t xml:space="preserve">m2</t>
  </si>
  <si>
    <t xml:space="preserve">STK-003</t>
  </si>
  <si>
    <t xml:space="preserve">Motor Kablosu 1.5mm</t>
  </si>
  <si>
    <t xml:space="preserve">Elektrik</t>
  </si>
  <si>
    <t xml:space="preserve">Metre</t>
  </si>
  <si>
    <t xml:space="preserve">STK-004</t>
  </si>
  <si>
    <t xml:space="preserve">Contalama Lastiği</t>
  </si>
  <si>
    <t xml:space="preserve">Yedek Parça</t>
  </si>
  <si>
    <t xml:space="preserve">STK-005</t>
  </si>
  <si>
    <t xml:space="preserve">Ambalaj Kutusu Büyük</t>
  </si>
  <si>
    <t xml:space="preserve">Sarf Malzeme</t>
  </si>
  <si>
    <t xml:space="preserve">TOPLAM STOK DEĞERİ</t>
  </si>
  <si>
    <t xml:space="preserve">Açıklama:</t>
  </si>
  <si>
    <t xml:space="preserve">Mavi yazı = elle girilen veri (Ürün Kodu, Açılış Stoğu, Giriş, Çıkış, Min. Stok, Birim Fiyat)</t>
  </si>
  <si>
    <t xml:space="preserve">Siyah yazı = otomatik hesaplanan formül (Güncel Stok, Durum, Stok Değeri)</t>
  </si>
  <si>
    <t xml:space="preserve">Durum: Güncel Stok ≤ Min. Stok ise KRİTİK, ≤ 2×Min. Stok ise DÜŞÜK, aksi halde YETERLİ</t>
  </si>
  <si>
    <t xml:space="preserve">STOK HAREKET KAYITLARI</t>
  </si>
  <si>
    <t xml:space="preserve">Her giriş/çıkış işlemi tarih sırasıyla buraya kaydedilir</t>
  </si>
  <si>
    <t xml:space="preserve">Tarih</t>
  </si>
  <si>
    <t xml:space="preserve">Hareket Tipi</t>
  </si>
  <si>
    <t xml:space="preserve">Miktar</t>
  </si>
  <si>
    <t xml:space="preserve">Açıklama</t>
  </si>
  <si>
    <t xml:space="preserve">2026-09-01</t>
  </si>
  <si>
    <t xml:space="preserve">Giriş</t>
  </si>
  <si>
    <t xml:space="preserve">Tedarikçi teslimatı</t>
  </si>
  <si>
    <t xml:space="preserve">2026-09-03</t>
  </si>
  <si>
    <t xml:space="preserve">Çıkış</t>
  </si>
  <si>
    <t xml:space="preserve">Üretim hattına sevk</t>
  </si>
  <si>
    <t xml:space="preserve">2026-09-05</t>
  </si>
  <si>
    <t xml:space="preserve">2026-09-08</t>
  </si>
  <si>
    <t xml:space="preserve">Montaj hattı</t>
  </si>
  <si>
    <t xml:space="preserve">Not: Bu sayfaya yeni hareket eklendikçe, 'Stok Listesi' sayfasındaki Toplam Giriş/Çıkış hücrelerini güncelleyin.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</si>
</sst>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9"/>
      <name val="Arial"/>
      <family val="0"/>
      <charset val="1"/>
    </font>
    <font>
      <i val="true"/>
      <sz val="9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9" min="6" style="0" width="13"/>
    <col collapsed="false" customWidth="true" hidden="false" outlineLevel="0" max="10" min="10" style="0" width="16"/>
    <col collapsed="false" customWidth="true" hidden="false" outlineLevel="0" max="11" min="11" style="0" width="20"/>
    <col collapsed="false" customWidth="true" hidden="false" outlineLevel="0" max="12" min="12" style="0" width="14"/>
    <col collapsed="false" customWidth="true" hidden="false" outlineLevel="0" max="13" min="13" style="0" width="15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3" t="s">
        <v>13</v>
      </c>
    </row>
    <row r="6" customFormat="false" ht="15" hidden="false" customHeight="false" outlineLevel="0" collapsed="false">
      <c r="B6" s="4" t="s">
        <v>14</v>
      </c>
      <c r="C6" s="5" t="s">
        <v>15</v>
      </c>
      <c r="D6" s="4" t="s">
        <v>16</v>
      </c>
      <c r="E6" s="4" t="s">
        <v>17</v>
      </c>
      <c r="F6" s="4" t="n">
        <v>500</v>
      </c>
      <c r="G6" s="4" t="n">
        <v>1200</v>
      </c>
      <c r="H6" s="4" t="n">
        <v>900</v>
      </c>
      <c r="I6" s="6" t="n">
        <f aca="false">F6+G6-H6</f>
        <v>800</v>
      </c>
      <c r="J6" s="4" t="n">
        <v>8</v>
      </c>
      <c r="K6" s="7" t="str">
        <f aca="false">IF(I6&lt;=J6,"KRİTİK - Sipariş Ver",IF(I6&lt;=J6*2,"DÜŞÜK","YETERLİ"))</f>
        <v>YETERLİ</v>
      </c>
      <c r="L6" s="8" t="n">
        <v>15.5</v>
      </c>
      <c r="M6" s="9" t="n">
        <f aca="false">I6*L6</f>
        <v>12400</v>
      </c>
    </row>
    <row r="7" customFormat="false" ht="15" hidden="false" customHeight="false" outlineLevel="0" collapsed="false">
      <c r="B7" s="4" t="s">
        <v>18</v>
      </c>
      <c r="C7" s="5" t="s">
        <v>19</v>
      </c>
      <c r="D7" s="4" t="s">
        <v>20</v>
      </c>
      <c r="E7" s="4" t="s">
        <v>21</v>
      </c>
      <c r="F7" s="4" t="n">
        <v>300</v>
      </c>
      <c r="G7" s="4" t="n">
        <v>800</v>
      </c>
      <c r="H7" s="4" t="n">
        <v>750</v>
      </c>
      <c r="I7" s="6" t="n">
        <f aca="false">F7+G7-H7</f>
        <v>350</v>
      </c>
      <c r="J7" s="4" t="n">
        <v>8</v>
      </c>
      <c r="K7" s="7" t="str">
        <f aca="false">IF(I7&lt;=J7,"KRİTİK - Sipariş Ver",IF(I7&lt;=J7*2,"DÜŞÜK","YETERLİ"))</f>
        <v>YETERLİ</v>
      </c>
      <c r="L7" s="8" t="n">
        <v>220</v>
      </c>
      <c r="M7" s="9" t="n">
        <f aca="false">I7*L7</f>
        <v>77000</v>
      </c>
    </row>
    <row r="8" customFormat="false" ht="15" hidden="false" customHeight="false" outlineLevel="0" collapsed="false">
      <c r="B8" s="4" t="s">
        <v>22</v>
      </c>
      <c r="C8" s="5" t="s">
        <v>23</v>
      </c>
      <c r="D8" s="4" t="s">
        <v>24</v>
      </c>
      <c r="E8" s="4" t="s">
        <v>25</v>
      </c>
      <c r="F8" s="4" t="n">
        <v>1000</v>
      </c>
      <c r="G8" s="4" t="n">
        <v>500</v>
      </c>
      <c r="H8" s="4" t="n">
        <v>300</v>
      </c>
      <c r="I8" s="6" t="n">
        <f aca="false">F8+G8-H8</f>
        <v>1200</v>
      </c>
      <c r="J8" s="4" t="n">
        <v>8</v>
      </c>
      <c r="K8" s="7" t="str">
        <f aca="false">IF(I8&lt;=J8,"KRİTİK - Sipariş Ver",IF(I8&lt;=J8*2,"DÜŞÜK","YETERLİ"))</f>
        <v>YETERLİ</v>
      </c>
      <c r="L8" s="8" t="n">
        <v>8.75</v>
      </c>
      <c r="M8" s="9" t="n">
        <f aca="false">I8*L8</f>
        <v>10500</v>
      </c>
    </row>
    <row r="9" customFormat="false" ht="15" hidden="false" customHeight="false" outlineLevel="0" collapsed="false">
      <c r="B9" s="4" t="s">
        <v>26</v>
      </c>
      <c r="C9" s="5" t="s">
        <v>27</v>
      </c>
      <c r="D9" s="4" t="s">
        <v>28</v>
      </c>
      <c r="E9" s="4" t="s">
        <v>17</v>
      </c>
      <c r="F9" s="4" t="n">
        <v>150</v>
      </c>
      <c r="G9" s="4" t="n">
        <v>400</v>
      </c>
      <c r="H9" s="4" t="n">
        <v>380</v>
      </c>
      <c r="I9" s="6" t="n">
        <f aca="false">F9+G9-H9</f>
        <v>170</v>
      </c>
      <c r="J9" s="4" t="n">
        <v>8</v>
      </c>
      <c r="K9" s="7" t="str">
        <f aca="false">IF(I9&lt;=J9,"KRİTİK - Sipariş Ver",IF(I9&lt;=J9*2,"DÜŞÜK","YETERLİ"))</f>
        <v>YETERLİ</v>
      </c>
      <c r="L9" s="8" t="n">
        <v>32</v>
      </c>
      <c r="M9" s="9" t="n">
        <f aca="false">I9*L9</f>
        <v>5440</v>
      </c>
    </row>
    <row r="10" customFormat="false" ht="15" hidden="false" customHeight="false" outlineLevel="0" collapsed="false">
      <c r="B10" s="4" t="s">
        <v>29</v>
      </c>
      <c r="C10" s="5" t="s">
        <v>30</v>
      </c>
      <c r="D10" s="4" t="s">
        <v>31</v>
      </c>
      <c r="E10" s="4" t="s">
        <v>17</v>
      </c>
      <c r="F10" s="4" t="n">
        <v>200</v>
      </c>
      <c r="G10" s="4" t="n">
        <v>600</v>
      </c>
      <c r="H10" s="4" t="n">
        <v>550</v>
      </c>
      <c r="I10" s="6" t="n">
        <f aca="false">F10+G10-H10</f>
        <v>250</v>
      </c>
      <c r="J10" s="4" t="n">
        <v>8</v>
      </c>
      <c r="K10" s="7" t="str">
        <f aca="false">IF(I10&lt;=J10,"KRİTİK - Sipariş Ver",IF(I10&lt;=J10*2,"DÜŞÜK","YETERLİ"))</f>
        <v>YETERLİ</v>
      </c>
      <c r="L10" s="8" t="n">
        <v>12</v>
      </c>
      <c r="M10" s="9" t="n">
        <f aca="false">I10*L10</f>
        <v>3000</v>
      </c>
    </row>
    <row r="12" customFormat="false" ht="15" hidden="false" customHeight="false" outlineLevel="0" collapsed="false">
      <c r="C12" s="10" t="s">
        <v>32</v>
      </c>
      <c r="M12" s="11" t="n">
        <f aca="false">SUM(M6:M10)</f>
        <v>108340</v>
      </c>
    </row>
    <row r="14" customFormat="false" ht="15" hidden="false" customHeight="false" outlineLevel="0" collapsed="false">
      <c r="B14" s="12" t="s">
        <v>33</v>
      </c>
    </row>
    <row r="15" customFormat="false" ht="15" hidden="false" customHeight="false" outlineLevel="0" collapsed="false">
      <c r="B15" s="13" t="s">
        <v>34</v>
      </c>
    </row>
    <row r="16" customFormat="false" ht="15" hidden="false" customHeight="false" outlineLevel="0" collapsed="false">
      <c r="B16" s="14" t="s">
        <v>35</v>
      </c>
    </row>
    <row r="17" customFormat="false" ht="15" hidden="false" customHeight="false" outlineLevel="0" collapsed="false">
      <c r="B17" s="14" t="s">
        <v>36</v>
      </c>
    </row>
  </sheetData>
  <conditionalFormatting sqref="K6:K10">
    <cfRule type="expression" priority="2" aboveAverage="0" equalAverage="0" bottom="0" percent="0" rank="0" text="" dxfId="0">
      <formula>K6="KRİTİK - Sipariş Ver"</formula>
    </cfRule>
    <cfRule type="expression" priority="3" aboveAverage="0" equalAverage="0" bottom="0" percent="0" rank="0" text="" dxfId="1">
      <formula>K6="DÜŞÜK"</formula>
    </cfRule>
    <cfRule type="expression" priority="4" aboveAverage="0" equalAverage="0" bottom="0" percent="0" rank="0" text="" dxfId="2">
      <formula>K6="YETERLİ"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" min="2" style="0" width="14"/>
    <col collapsed="false" customWidth="true" hidden="false" outlineLevel="0" max="4" min="4" style="0" width="24"/>
    <col collapsed="false" customWidth="true" hidden="false" outlineLevel="0" max="6" min="5" style="0" width="12"/>
    <col collapsed="false" customWidth="true" hidden="false" outlineLevel="0" max="7" min="7" style="0" width="30"/>
  </cols>
  <sheetData>
    <row r="2" customFormat="false" ht="19.7" hidden="false" customHeight="false" outlineLevel="0" collapsed="false">
      <c r="B2" s="1" t="s">
        <v>37</v>
      </c>
    </row>
    <row r="3" customFormat="false" ht="15" hidden="false" customHeight="false" outlineLevel="0" collapsed="false">
      <c r="B3" s="2" t="s">
        <v>38</v>
      </c>
    </row>
    <row r="5" customFormat="false" ht="15" hidden="false" customHeight="false" outlineLevel="0" collapsed="false">
      <c r="B5" s="3" t="s">
        <v>39</v>
      </c>
      <c r="C5" s="3" t="s">
        <v>2</v>
      </c>
      <c r="D5" s="3" t="s">
        <v>3</v>
      </c>
      <c r="E5" s="3" t="s">
        <v>40</v>
      </c>
      <c r="F5" s="3" t="s">
        <v>41</v>
      </c>
      <c r="G5" s="3" t="s">
        <v>42</v>
      </c>
    </row>
    <row r="6" customFormat="false" ht="15" hidden="false" customHeight="false" outlineLevel="0" collapsed="false">
      <c r="B6" s="4" t="s">
        <v>43</v>
      </c>
      <c r="C6" s="4" t="s">
        <v>14</v>
      </c>
      <c r="D6" s="4" t="s">
        <v>15</v>
      </c>
      <c r="E6" s="4" t="s">
        <v>44</v>
      </c>
      <c r="F6" s="4" t="n">
        <v>500</v>
      </c>
      <c r="G6" s="5" t="s">
        <v>45</v>
      </c>
    </row>
    <row r="7" customFormat="false" ht="15" hidden="false" customHeight="false" outlineLevel="0" collapsed="false">
      <c r="B7" s="4" t="s">
        <v>46</v>
      </c>
      <c r="C7" s="4" t="s">
        <v>14</v>
      </c>
      <c r="D7" s="4" t="s">
        <v>15</v>
      </c>
      <c r="E7" s="4" t="s">
        <v>47</v>
      </c>
      <c r="F7" s="4" t="n">
        <v>120</v>
      </c>
      <c r="G7" s="5" t="s">
        <v>48</v>
      </c>
    </row>
    <row r="8" customFormat="false" ht="15" hidden="false" customHeight="false" outlineLevel="0" collapsed="false">
      <c r="B8" s="4" t="s">
        <v>49</v>
      </c>
      <c r="C8" s="4" t="s">
        <v>18</v>
      </c>
      <c r="D8" s="4" t="s">
        <v>19</v>
      </c>
      <c r="E8" s="4" t="s">
        <v>44</v>
      </c>
      <c r="F8" s="4" t="n">
        <v>300</v>
      </c>
      <c r="G8" s="5" t="s">
        <v>45</v>
      </c>
    </row>
    <row r="9" customFormat="false" ht="15" hidden="false" customHeight="false" outlineLevel="0" collapsed="false">
      <c r="B9" s="4" t="s">
        <v>50</v>
      </c>
      <c r="C9" s="4" t="s">
        <v>22</v>
      </c>
      <c r="D9" s="4" t="s">
        <v>23</v>
      </c>
      <c r="E9" s="4" t="s">
        <v>47</v>
      </c>
      <c r="F9" s="4" t="n">
        <v>150</v>
      </c>
      <c r="G9" s="5" t="s">
        <v>51</v>
      </c>
    </row>
    <row r="12" customFormat="false" ht="15" hidden="false" customHeight="false" outlineLevel="0" collapsed="false">
      <c r="B12" s="14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2026-09-22T11:55:00Z</dcterms:created>
  <dc:creator>openpyxl</dc:creator>
  <dc:description/>
  <dc:language>en-US</dc:language>
  <cp:lastModifiedBy/>
  <dcterms:modified xsi:type="dcterms:W3CDTF">2026-09-22T11:55:00Z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